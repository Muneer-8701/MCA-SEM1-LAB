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D\MCA AHMAD\"/>
    </mc:Choice>
  </mc:AlternateContent>
  <xr:revisionPtr revIDLastSave="0" documentId="13_ncr:1_{561B5E80-C725-48CC-8A7E-BEB52513630E}" xr6:coauthVersionLast="47" xr6:coauthVersionMax="47" xr10:uidLastSave="{00000000-0000-0000-0000-000000000000}"/>
  <bookViews>
    <workbookView xWindow="-120" yWindow="-120" windowWidth="20730" windowHeight="11160" xr2:uid="{CDD138E6-5308-4612-9B68-8FCF947EC4D6}"/>
  </bookViews>
  <sheets>
    <sheet name="LY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1" l="1"/>
  <c r="F5" i="1"/>
  <c r="F6" i="1"/>
  <c r="G6" i="1" s="1"/>
  <c r="F7" i="1"/>
  <c r="G7" i="1" s="1"/>
  <c r="F8" i="1"/>
  <c r="D12" i="1"/>
  <c r="D11" i="1"/>
  <c r="D10" i="1"/>
  <c r="E9" i="1"/>
  <c r="G5" i="1"/>
  <c r="G8" i="1"/>
  <c r="G4" i="1"/>
  <c r="F4" i="1"/>
  <c r="D5" i="1"/>
  <c r="D6" i="1"/>
  <c r="D7" i="1"/>
  <c r="D8" i="1"/>
  <c r="D4" i="1"/>
  <c r="C5" i="1"/>
  <c r="C6" i="1"/>
  <c r="C7" i="1"/>
  <c r="C8" i="1"/>
  <c r="C4" i="1"/>
  <c r="G9" i="1" l="1"/>
</calcChain>
</file>

<file path=xl/sharedStrings.xml><?xml version="1.0" encoding="utf-8"?>
<sst xmlns="http://schemas.openxmlformats.org/spreadsheetml/2006/main" count="17" uniqueCount="17">
  <si>
    <t xml:space="preserve">LYONCS  INC - Orange Juice Sales </t>
  </si>
  <si>
    <t>Product</t>
  </si>
  <si>
    <t>Cost Price Per litre</t>
  </si>
  <si>
    <t>Cascade</t>
  </si>
  <si>
    <t>Quench</t>
  </si>
  <si>
    <t>Xtra</t>
  </si>
  <si>
    <t>Sun Splash</t>
  </si>
  <si>
    <t>House Brand</t>
  </si>
  <si>
    <t>SELLING PRICE</t>
  </si>
  <si>
    <t>LITRES SOLD</t>
  </si>
  <si>
    <t>TOTAL INCOME</t>
  </si>
  <si>
    <t>PROFIT</t>
  </si>
  <si>
    <r>
      <rPr>
        <b/>
        <sz val="11"/>
        <color theme="1"/>
        <rFont val="Calibri"/>
        <family val="2"/>
        <scheme val="minor"/>
      </rPr>
      <t xml:space="preserve">MARK UP PER Item 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35</t>
    </r>
    <r>
      <rPr>
        <sz val="11"/>
        <color theme="1"/>
        <rFont val="Calibri"/>
        <family val="2"/>
        <scheme val="minor"/>
      </rPr>
      <t>%</t>
    </r>
  </si>
  <si>
    <t>TOTAL</t>
  </si>
  <si>
    <t>HIGHEST</t>
  </si>
  <si>
    <t>LOWEST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</si>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</sst>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top" wrapText="1"/>
    </xf>
    <xf numFmtId="0" fontId="1" fillId="0" borderId="0" xfId="0" applyFont="1"/>
    <xf numFmtId="9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2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</a:t>
            </a:r>
            <a:r>
              <a:rPr lang="en-IN" baseline="0"/>
              <a:t> COST PER UNIT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985627734033246"/>
          <c:y val="0.17634259259259263"/>
          <c:w val="0.40287467191601051"/>
          <c:h val="0.6714577865266842"/>
        </c:manualLayout>
      </c:layout>
      <c:pieChart>
        <c:varyColors val="1"/>
        <c:ser>
          <c:idx val="0"/>
          <c:order val="0"/>
          <c:tx>
            <c:strRef>
              <c:f>LYONS!$B$2</c:f>
              <c:strCache>
                <c:ptCount val="1"/>
                <c:pt idx="0">
                  <c:v>Cost Price Per litre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97A-4179-B941-69C27027622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97A-4179-B941-69C27027622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97A-4179-B941-69C27027622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97A-4179-B941-69C27027622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97A-4179-B941-69C27027622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97A-4179-B941-69C2702762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LYONS!$A$3:$A$8</c:f>
              <c:strCache>
                <c:ptCount val="6"/>
                <c:pt idx="1">
                  <c:v>Cascade</c:v>
                </c:pt>
                <c:pt idx="2">
                  <c:v>Quench</c:v>
                </c:pt>
                <c:pt idx="3">
                  <c:v>Xtra</c:v>
                </c:pt>
                <c:pt idx="4">
                  <c:v>Sun Splash</c:v>
                </c:pt>
                <c:pt idx="5">
                  <c:v>House Brand</c:v>
                </c:pt>
              </c:strCache>
            </c:strRef>
          </c:cat>
          <c:val>
            <c:numRef>
              <c:f>LYONS!$B$3:$B$8</c:f>
              <c:numCache>
                <c:formatCode>General</c:formatCode>
                <c:ptCount val="6"/>
                <c:pt idx="1">
                  <c:v>3.75</c:v>
                </c:pt>
                <c:pt idx="2">
                  <c:v>3.65</c:v>
                </c:pt>
                <c:pt idx="3">
                  <c:v>4.25</c:v>
                </c:pt>
                <c:pt idx="4">
                  <c:v>1.5</c:v>
                </c:pt>
                <c:pt idx="5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B1-4A50-B2AF-01879766535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</xdr:colOff>
      <xdr:row>20</xdr:row>
      <xdr:rowOff>171450</xdr:rowOff>
    </xdr:from>
    <xdr:to>
      <xdr:col>9</xdr:col>
      <xdr:colOff>144780</xdr:colOff>
      <xdr:row>35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CF36C5-6A1D-A10B-5594-4D65A38A30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F3970-85B1-4E29-9DC2-910B71424AE7}">
  <dimension ref="A1:K12"/>
  <sheetViews>
    <sheetView tabSelected="1" zoomScale="120" zoomScaleNormal="120" workbookViewId="0">
      <selection activeCell="J4" sqref="J4"/>
    </sheetView>
  </sheetViews>
  <sheetFormatPr defaultRowHeight="15" x14ac:dyDescent="0.25"/>
  <cols>
    <col min="1" max="1" width="11.140625" customWidth="1"/>
    <col min="2" max="2" width="10.7109375" customWidth="1"/>
    <col min="3" max="3" width="11.7109375" customWidth="1"/>
    <col min="5" max="5" width="7.140625" customWidth="1"/>
    <col min="6" max="6" width="10.5703125" bestFit="1" customWidth="1"/>
  </cols>
  <sheetData>
    <row r="1" spans="1:11" ht="18.75" x14ac:dyDescent="0.3">
      <c r="A1" s="8" t="s">
        <v>0</v>
      </c>
      <c r="B1" s="9"/>
      <c r="C1" s="9"/>
      <c r="D1" s="9"/>
      <c r="E1" s="9"/>
      <c r="F1" s="9"/>
    </row>
    <row r="2" spans="1:11" ht="44.45" customHeight="1" x14ac:dyDescent="0.25">
      <c r="A2" s="1" t="s">
        <v>1</v>
      </c>
      <c r="B2" s="2" t="s">
        <v>2</v>
      </c>
      <c r="C2" s="5" t="s">
        <v>12</v>
      </c>
      <c r="D2" s="2" t="s">
        <v>8</v>
      </c>
      <c r="E2" s="2" t="s">
        <v>9</v>
      </c>
      <c r="F2" s="2" t="s">
        <v>10</v>
      </c>
      <c r="G2" s="1" t="s">
        <v>11</v>
      </c>
    </row>
    <row r="3" spans="1:11" ht="17.45" customHeight="1" x14ac:dyDescent="0.25">
      <c r="A3" s="1"/>
      <c r="B3" s="2"/>
      <c r="C3" s="4">
        <v>0.35</v>
      </c>
      <c r="D3" s="2"/>
      <c r="E3" s="2"/>
      <c r="F3" s="2"/>
      <c r="G3" s="1"/>
    </row>
    <row r="4" spans="1:11" x14ac:dyDescent="0.25">
      <c r="A4" t="s">
        <v>3</v>
      </c>
      <c r="B4">
        <v>3.75</v>
      </c>
      <c r="C4">
        <f>B4*$C$3</f>
        <v>1.3125</v>
      </c>
      <c r="D4">
        <f>B4+C4</f>
        <v>5.0625</v>
      </c>
      <c r="E4">
        <v>234</v>
      </c>
      <c r="F4">
        <f>E4*D4</f>
        <v>1184.625</v>
      </c>
      <c r="G4">
        <f>F4-(B4*E4)</f>
        <v>307.125</v>
      </c>
    </row>
    <row r="5" spans="1:11" x14ac:dyDescent="0.25">
      <c r="A5" t="s">
        <v>4</v>
      </c>
      <c r="B5">
        <v>3.65</v>
      </c>
      <c r="C5">
        <f t="shared" ref="C5:C8" si="0">B5*$C$3</f>
        <v>1.2774999999999999</v>
      </c>
      <c r="D5">
        <f t="shared" ref="D5:D8" si="1">B5+C5</f>
        <v>4.9275000000000002</v>
      </c>
      <c r="E5">
        <v>345</v>
      </c>
      <c r="F5">
        <f t="shared" ref="F5:F8" si="2">E5*D5</f>
        <v>1699.9875000000002</v>
      </c>
      <c r="G5">
        <f t="shared" ref="G5:G8" si="3">F5-(B5*E5)</f>
        <v>440.73750000000018</v>
      </c>
    </row>
    <row r="6" spans="1:11" x14ac:dyDescent="0.25">
      <c r="A6" t="s">
        <v>5</v>
      </c>
      <c r="B6">
        <v>4.25</v>
      </c>
      <c r="C6">
        <f t="shared" si="0"/>
        <v>1.4874999999999998</v>
      </c>
      <c r="D6">
        <f t="shared" si="1"/>
        <v>5.7374999999999998</v>
      </c>
      <c r="E6">
        <v>456</v>
      </c>
      <c r="F6">
        <f t="shared" si="2"/>
        <v>2616.2999999999997</v>
      </c>
      <c r="G6">
        <f t="shared" si="3"/>
        <v>678.29999999999973</v>
      </c>
    </row>
    <row r="7" spans="1:11" x14ac:dyDescent="0.25">
      <c r="A7" t="s">
        <v>6</v>
      </c>
      <c r="B7">
        <v>1.5</v>
      </c>
      <c r="C7">
        <f t="shared" si="0"/>
        <v>0.52499999999999991</v>
      </c>
      <c r="D7">
        <f t="shared" si="1"/>
        <v>2.0249999999999999</v>
      </c>
      <c r="E7">
        <v>123</v>
      </c>
      <c r="F7">
        <f t="shared" si="2"/>
        <v>249.07499999999999</v>
      </c>
      <c r="G7">
        <f t="shared" si="3"/>
        <v>64.574999999999989</v>
      </c>
    </row>
    <row r="8" spans="1:11" x14ac:dyDescent="0.25">
      <c r="A8" t="s">
        <v>7</v>
      </c>
      <c r="B8">
        <v>1.5</v>
      </c>
      <c r="C8">
        <f t="shared" si="0"/>
        <v>0.52499999999999991</v>
      </c>
      <c r="D8">
        <f t="shared" si="1"/>
        <v>2.0249999999999999</v>
      </c>
      <c r="E8">
        <v>245</v>
      </c>
      <c r="F8">
        <f t="shared" si="2"/>
        <v>496.125</v>
      </c>
      <c r="G8">
        <f t="shared" si="3"/>
        <v>128.625</v>
      </c>
    </row>
    <row r="9" spans="1:11" x14ac:dyDescent="0.25">
      <c r="A9" s="3" t="s">
        <v>13</v>
      </c>
      <c r="E9">
        <f>SUM(E4:E8)</f>
        <v>1403</v>
      </c>
      <c r="F9" s="6">
        <f>SUM(F4:F8)</f>
        <v>6246.1125000000002</v>
      </c>
      <c r="G9" s="6">
        <f>SUM(G4:G8)</f>
        <v>1619.3625</v>
      </c>
    </row>
    <row r="10" spans="1:11" x14ac:dyDescent="0.25">
      <c r="A10" s="3" t="s">
        <v>14</v>
      </c>
      <c r="D10" s="6">
        <f>MAX(D4:D8)</f>
        <v>5.7374999999999998</v>
      </c>
    </row>
    <row r="11" spans="1:11" x14ac:dyDescent="0.25">
      <c r="A11" s="3" t="s">
        <v>15</v>
      </c>
      <c r="D11" s="6">
        <f>MIN(D4:D8)</f>
        <v>2.0249999999999999</v>
      </c>
    </row>
    <row r="12" spans="1:11" x14ac:dyDescent="0.25">
      <c r="A12" s="3" t="s">
        <v>16</v>
      </c>
      <c r="D12" s="7">
        <f>AVERAGE(D4:D8)</f>
        <v>3.9554999999999993</v>
      </c>
      <c r="K12" s="6"/>
    </row>
  </sheetData>
  <mergeCells count="1">
    <mergeCell ref="A1: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LYONS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Muneer Ahmad</dc:creator>
  <cp:lastModifiedBy>CSD</cp:lastModifiedBy>
  <dcterms:created xsi:type="dcterms:W3CDTF">2026-08-12T15:09:01Z</dcterms:created>
  <dcterms:modified xsi:type="dcterms:W3CDTF">2026-08-13T09:27:13Z</dcterms:modified>
</cp:coreProperties>
</file>