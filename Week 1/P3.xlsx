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MCA AHMAD\"/>
    </mc:Choice>
  </mc:AlternateContent>
  <xr:revisionPtr revIDLastSave="0" documentId="13_ncr:1_{9904FF64-DF84-400A-B623-E6BB7CD3DB99}" xr6:coauthVersionLast="47" xr6:coauthVersionMax="47" xr10:uidLastSave="{00000000-0000-0000-0000-000000000000}"/>
  <bookViews>
    <workbookView xWindow="-120" yWindow="-120" windowWidth="20730" windowHeight="11160" xr2:uid="{3FF12F22-4BD2-49D8-B78C-8667D8E9DADE}"/>
  </bookViews>
  <sheets>
    <sheet name="Salary Advice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1" l="1"/>
  <c r="E11" i="1"/>
  <c r="E8" i="1"/>
  <c r="E6" i="1"/>
  <c r="B10" i="1"/>
  <c r="B7" i="1"/>
  <c r="B6" i="1"/>
</calcChain>
</file>

<file path=xl/sharedStrings.xml><?xml version="1.0" encoding="utf-8"?>
<sst xmlns="http://schemas.openxmlformats.org/spreadsheetml/2006/main" count="22" uniqueCount="21">
  <si>
    <t>EMPLOYEE</t>
  </si>
  <si>
    <t>DATE</t>
  </si>
  <si>
    <t>INCOME</t>
  </si>
  <si>
    <t>Vehicle Allowance</t>
  </si>
  <si>
    <t>T Marongo</t>
  </si>
  <si>
    <t>BASIC SALARY p.a</t>
  </si>
  <si>
    <t>Basic Salary</t>
  </si>
  <si>
    <t>House Subsidy</t>
  </si>
  <si>
    <t>Medical Aid</t>
  </si>
  <si>
    <t>Gross Income</t>
  </si>
  <si>
    <t>Deduction</t>
  </si>
  <si>
    <t>AMOUNT</t>
  </si>
  <si>
    <t>STAFF NO</t>
  </si>
  <si>
    <t>NEXT PAY DATE</t>
  </si>
  <si>
    <t>Pension @8%</t>
  </si>
  <si>
    <t>P.A.Y.E</t>
  </si>
  <si>
    <t>U.I.F</t>
  </si>
  <si>
    <t>Bond Repayment</t>
  </si>
  <si>
    <t>Total Deductions</t>
  </si>
  <si>
    <t>Net Salary</t>
  </si>
  <si>
    <t>SALARY ADVICE FOR MARCH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</si>
</sst>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15" fontId="0" fillId="0" borderId="1" xfId="0" applyNumberFormat="1" applyBorder="1"/>
    <xf numFmtId="2" fontId="0" fillId="0" borderId="1" xfId="0" applyNumberFormat="1" applyBorder="1" applyAlignment="1">
      <alignment horizontal="left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6711-7D5E-46A9-B425-4153C99D80FD}">
  <dimension ref="A1:E11"/>
  <sheetViews>
    <sheetView tabSelected="1" zoomScale="154" zoomScaleNormal="154" workbookViewId="0">
      <selection activeCell="E8" sqref="E8"/>
    </sheetView>
  </sheetViews>
  <sheetFormatPr defaultRowHeight="15" x14ac:dyDescent="0.25"/>
  <cols>
    <col min="1" max="1" width="16.42578125" customWidth="1"/>
    <col min="2" max="2" width="17" customWidth="1"/>
    <col min="3" max="3" width="16.28515625" bestFit="1" customWidth="1"/>
    <col min="4" max="4" width="9.5703125" bestFit="1" customWidth="1"/>
    <col min="5" max="5" width="10.28515625" bestFit="1" customWidth="1"/>
  </cols>
  <sheetData>
    <row r="1" spans="1:5" ht="34.9" customHeight="1" x14ac:dyDescent="0.25">
      <c r="A1" s="3" t="s">
        <v>20</v>
      </c>
      <c r="B1" s="4"/>
      <c r="C1" s="4"/>
      <c r="D1" s="4"/>
      <c r="E1" s="4"/>
    </row>
    <row r="2" spans="1:5" x14ac:dyDescent="0.25">
      <c r="A2" s="1" t="s">
        <v>0</v>
      </c>
      <c r="B2" s="2" t="s">
        <v>4</v>
      </c>
      <c r="C2" s="1" t="s">
        <v>12</v>
      </c>
      <c r="D2" s="2"/>
      <c r="E2" s="2">
        <v>4</v>
      </c>
    </row>
    <row r="3" spans="1:5" x14ac:dyDescent="0.25">
      <c r="A3" s="1" t="s">
        <v>1</v>
      </c>
      <c r="B3" s="5">
        <v>42460</v>
      </c>
      <c r="C3" s="1" t="s">
        <v>13</v>
      </c>
      <c r="D3" s="2"/>
      <c r="E3" s="6">
        <v>42490</v>
      </c>
    </row>
    <row r="4" spans="1:5" x14ac:dyDescent="0.25">
      <c r="A4" s="1" t="s">
        <v>5</v>
      </c>
      <c r="B4" s="7">
        <v>31200</v>
      </c>
      <c r="C4" s="2"/>
      <c r="D4" s="2"/>
      <c r="E4" s="2"/>
    </row>
    <row r="5" spans="1:5" ht="22.9" customHeight="1" x14ac:dyDescent="0.25">
      <c r="A5" s="1" t="s">
        <v>2</v>
      </c>
      <c r="B5" s="2" t="s">
        <v>11</v>
      </c>
      <c r="C5" s="2" t="s">
        <v>10</v>
      </c>
      <c r="D5" s="2"/>
      <c r="E5" s="2" t="s">
        <v>11</v>
      </c>
    </row>
    <row r="6" spans="1:5" x14ac:dyDescent="0.25">
      <c r="A6" s="2" t="s">
        <v>6</v>
      </c>
      <c r="B6" s="8">
        <f>31200/12</f>
        <v>2600</v>
      </c>
      <c r="C6" s="2" t="s">
        <v>14</v>
      </c>
      <c r="D6" s="2"/>
      <c r="E6" s="8">
        <f>B6*8%</f>
        <v>208</v>
      </c>
    </row>
    <row r="7" spans="1:5" x14ac:dyDescent="0.25">
      <c r="A7" s="2" t="s">
        <v>7</v>
      </c>
      <c r="B7" s="8">
        <f>6000/12</f>
        <v>500</v>
      </c>
      <c r="C7" s="2" t="s">
        <v>15</v>
      </c>
      <c r="D7" s="2"/>
      <c r="E7" s="8">
        <v>636.83000000000004</v>
      </c>
    </row>
    <row r="8" spans="1:5" x14ac:dyDescent="0.25">
      <c r="A8" s="2" t="s">
        <v>3</v>
      </c>
      <c r="B8" s="8">
        <v>100</v>
      </c>
      <c r="C8" s="2" t="s">
        <v>16</v>
      </c>
      <c r="D8" s="2"/>
      <c r="E8" s="8">
        <f>B6*1%+B7</f>
        <v>526</v>
      </c>
    </row>
    <row r="9" spans="1:5" x14ac:dyDescent="0.25">
      <c r="A9" s="2" t="s">
        <v>8</v>
      </c>
      <c r="B9" s="8">
        <v>70</v>
      </c>
      <c r="C9" s="2" t="s">
        <v>17</v>
      </c>
      <c r="D9" s="2"/>
      <c r="E9" s="8">
        <v>630</v>
      </c>
    </row>
    <row r="10" spans="1:5" x14ac:dyDescent="0.25">
      <c r="A10" s="2" t="s">
        <v>9</v>
      </c>
      <c r="B10" s="8">
        <f>SUM(B6:B9)</f>
        <v>3270</v>
      </c>
      <c r="C10" s="2" t="s">
        <v>18</v>
      </c>
      <c r="D10" s="2"/>
      <c r="E10" s="8">
        <f>SUM(E6:E9)</f>
        <v>2000.83</v>
      </c>
    </row>
    <row r="11" spans="1:5" x14ac:dyDescent="0.25">
      <c r="A11" s="2"/>
      <c r="B11" s="2"/>
      <c r="C11" s="2"/>
      <c r="D11" s="1" t="s">
        <v>19</v>
      </c>
      <c r="E11" s="2">
        <f>B10-E10</f>
        <v>1269.17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3126-E157-49E4-908F-4DC8633B693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Advice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Muneer Ahmad</dc:creator>
  <cp:lastModifiedBy>CSD</cp:lastModifiedBy>
  <dcterms:created xsi:type="dcterms:W3CDTF">2026-08-12T14:48:26Z</dcterms:created>
  <dcterms:modified xsi:type="dcterms:W3CDTF">2026-08-13T10:18:33Z</dcterms:modified>
</cp:coreProperties>
</file>